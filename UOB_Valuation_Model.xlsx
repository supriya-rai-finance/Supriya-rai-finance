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OB DDM Valuation" sheetId="1" state="visible" r:id="rId3"/>
    <sheet name="UOB Sensitiv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<sst xmlns="http://schemas.openxmlformats.org/spreadsheetml/2006/main" count="52" uniqueCount="51">
  <si>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United Overseas Bank (SGX: U11) — Dividend Discount Model (DCF) Valuation</t>
  </si>
  <si>
    <t xml:space="preserve">Bank DCF uses a Dividend Discount Model (FCFE proxy), not FCFF, since bank capital structure/leverage is core to operations</t>
  </si>
  <si>
    <t xml:space="preserve">Built 2026-09-20</t>
  </si>
  <si>
    <t xml:space="preserve">1. KEY MARKET &amp; COMPANY INPUTS</t>
  </si>
  <si>
    <t xml:space="preserve">Current Share Price</t>
  </si>
  <si>
    <t xml:space="preserve">Source: OCBC Investment Research report, 7 May 2026 (Last Close SGD 36.65)</t>
  </si>
  <si>
    <t xml:space="preserve">Shares Outstanding (bn)</t>
  </si>
  <si>
    <t xml:space="preserve">Estimated from market cap (~SGD 48bn) / price, per TipRanks, 2026</t>
  </si>
  <si>
    <t xml:space="preserve">Current EPS (TTM)</t>
  </si>
  <si>
    <t xml:space="preserve">Source: TipRanks TTM data (SGX:U11), 2026</t>
  </si>
  <si>
    <t xml:space="preserve">Book Value per Share</t>
  </si>
  <si>
    <t xml:space="preserve">Estimated: EPS / ROAE per TipRanks/FSM data, 2026</t>
  </si>
  <si>
    <t xml:space="preserve">Return on Average Equity - ROAE (%)</t>
  </si>
  <si>
    <t xml:space="preserve">Source: FSM factsheet ROE 9.09% (TTM, depressed by FY25 allowance charge); normalized range 9-13% typically cited by analysts</t>
  </si>
  <si>
    <t xml:space="preserve">Dividend Payout Ratio (%)</t>
  </si>
  <si>
    <t xml:space="preserve">Source: FSM factsheet, Pay-out Ratio 64.36% (TTM, elevated due to lower FY25 earnings vs maintained dividend); UOB's stated policy target is ~50%</t>
  </si>
  <si>
    <t xml:space="preserve">2. COST OF EQUITY (CAPM)</t>
  </si>
  <si>
    <t xml:space="preserve">Risk-Free Rate (10Y Govt Bond Yield)</t>
  </si>
  <si>
    <t xml:space="preserve">Assumption: Singapore 10-year government bond yield, approx. Sep 2026</t>
  </si>
  <si>
    <t xml:space="preserve">Equity Risk Premium</t>
  </si>
  <si>
    <t xml:space="preserve">Assumption: Damodaran Singapore country equity risk premium estimate</t>
  </si>
  <si>
    <t xml:space="preserve">Beta (Levered)</t>
  </si>
  <si>
    <t xml:space="preserve">Source: TipRanks beta for SGX:U11, 2026</t>
  </si>
  <si>
    <t xml:space="preserve">Cost of Equity, Ke = Rf + Beta x ERP</t>
  </si>
  <si>
    <t xml:space="preserve">3. GROWTH ASSUMPTIONS</t>
  </si>
  <si>
    <t xml:space="preserve">Sustainable Growth Rate = ROAE x (1 - Payout Ratio)</t>
  </si>
  <si>
    <t xml:space="preserve">Terminal Growth Rate (long-run)</t>
  </si>
  <si>
    <t xml:space="preserve">Assumption: long-run Singapore nominal GDP growth proxy</t>
  </si>
  <si>
    <t xml:space="preserve">Explicit Forecast Period (years)</t>
  </si>
  <si>
    <t xml:space="preserve">4. DIVIDEND PROJECTION &amp; DISCOUNTING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</si>
  <si>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</si>
  <si>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</si>
  <si>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</si>
  <si>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</si>
  <si>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</si>
  <si>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</si>
  <si>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EPS</t>
  </si>
  <si>
    <t xml:space="preserve">Dividend per Share, DPS</t>
  </si>
  <si>
    <t xml:space="preserve">Discount Factor @ Ke</t>
  </si>
  <si>
    <t xml:space="preserve">PV of Dividends</t>
  </si>
  <si>
    <t xml:space="preserve">5. TERMINAL VALUE &amp; INTRINSIC VALUE</t>
  </si>
  <si>
    <t xml:space="preserve">Terminal Value at Year 5 (Gordon Growth)</t>
  </si>
  <si>
    <t xml:space="preserve">PV of Terminal Value</t>
  </si>
  <si>
    <t xml:space="preserve">Sum of PV of Dividends (Yr 1-5)</t>
  </si>
  <si>
    <t xml:space="preserve">INTRINSIC VALUE PER SHARE</t>
  </si>
  <si>
    <t xml:space="preserve">Upside / (Downside) to Intrinsic Value</t>
  </si>
  <si>
    <t xml:space="preserve">UOB — DCF Sensitivity Analysis</t>
  </si>
  <si>
    <t xml:space="preserve">Intrinsic Value per Share: Cost of Equity (Ke) vs Terminal Growth Rate</t>
  </si>
  <si>
    <t xml:space="preserve">TABLE: Intrinsic Value / Share — Ke vs Terminal Growth</t>
  </si>
  <si>
    <t xml:space="preserve">Ke \ Terminal g</t>
  </si>
  <si>
    <t xml:space="preserve">Current share price for reference: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</si>
</sst>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3"/>
    <col collapsed="false" customWidth="true" hidden="false" outlineLevel="0" max="9" min="9" style="1" width="4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" t="s">
        <v>46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47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5" t="s">
        <v>48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13" t="s">
        <v>49</v>
      </c>
      <c r="B5" s="19" t="n">
        <v>0.015</v>
      </c>
      <c r="C5" s="19" t="n">
        <v>0.02</v>
      </c>
      <c r="D5" s="19" t="n">
        <v>0.025</v>
      </c>
      <c r="E5" s="19" t="n">
        <v>0.03</v>
      </c>
      <c r="F5" s="19" t="n">
        <v>0.035</v>
      </c>
      <c r="G5" s="19" t="n">
        <v>0.04</v>
      </c>
      <c r="H5" s="3"/>
    </row>
    <row r="6" customFormat="false" ht="15" hidden="false" customHeight="true" outlineLevel="0" collapsed="false">
      <c r="A6" s="19" t="n">
        <v>0.0815</v>
      </c>
      <c r="B6" s="14" t="n">
        <f aca="false">SUMPRODUCT('UOB DDM Valuation'!$B$8*(1+'UOB DDM Valuation'!$B$20)^{1,2,3,4,5}*'UOB DDM Valuation'!$B$11/(1+$A6)^{1,2,3,4,5})+('UOB DDM Valuation'!$B$8*(1+'UOB DDM Valuation'!$B$20)^5*'UOB DDM Valuation'!$B$11*(1+B$5)/($A6-B$5))/(1+$A6)^5</f>
        <v>32.2658064900107</v>
      </c>
      <c r="C6" s="14" t="n">
        <f aca="false">SUMPRODUCT('UOB DDM Valuation'!$B$8*(1+'UOB DDM Valuation'!$B$20)^{1,2,3,4,5}*'UOB DDM Valuation'!$B$11/(1+$A6)^{1,2,3,4,5})+('UOB DDM Valuation'!$B$8*(1+'UOB DDM Valuation'!$B$20)^5*'UOB DDM Valuation'!$B$11*(1+C$5)/($A6-C$5))/(1+$A6)^5</f>
        <v>34.3447823599593</v>
      </c>
      <c r="D6" s="14" t="n">
        <f aca="false">SUMPRODUCT('UOB DDM Valuation'!$B$8*(1+'UOB DDM Valuation'!$B$20)^{1,2,3,4,5}*'UOB DDM Valuation'!$B$11/(1+$A6)^{1,2,3,4,5})+('UOB DDM Valuation'!$B$8*(1+'UOB DDM Valuation'!$B$20)^5*'UOB DDM Valuation'!$B$11*(1+D$5)/($A6-D$5))/(1+$A6)^5</f>
        <v>36.7917185608723</v>
      </c>
      <c r="E6" s="14" t="n">
        <f aca="false">SUMPRODUCT('UOB DDM Valuation'!$B$8*(1+'UOB DDM Valuation'!$B$20)^{1,2,3,4,5}*'UOB DDM Valuation'!$B$11/(1+$A6)^{1,2,3,4,5})+('UOB DDM Valuation'!$B$8*(1+'UOB DDM Valuation'!$B$20)^5*'UOB DDM Valuation'!$B$11*(1+E$5)/($A6-E$5))/(1+$A6)^5</f>
        <v>39.713788004681</v>
      </c>
      <c r="F6" s="14" t="n">
        <f aca="false">SUMPRODUCT('UOB DDM Valuation'!$B$8*(1+'UOB DDM Valuation'!$B$20)^{1,2,3,4,5}*'UOB DDM Valuation'!$B$11/(1+$A6)^{1,2,3,4,5})+('UOB DDM Valuation'!$B$8*(1+'UOB DDM Valuation'!$B$20)^5*'UOB DDM Valuation'!$B$11*(1+F$5)/($A6-F$5))/(1+$A6)^5</f>
        <v>43.2642594794163</v>
      </c>
      <c r="G6" s="14" t="n">
        <f aca="false">SUMPRODUCT('UOB DDM Valuation'!$B$8*(1+'UOB DDM Valuation'!$B$20)^{1,2,3,4,5}*'UOB DDM Valuation'!$B$11/(1+$A6)^{1,2,3,4,5})+('UOB DDM Valuation'!$B$8*(1+'UOB DDM Valuation'!$B$20)^5*'UOB DDM Valuation'!$B$11*(1+G$5)/($A6-G$5))/(1+$A6)^5</f>
        <v>47.6702662492685</v>
      </c>
      <c r="H6" s="3"/>
    </row>
    <row r="7" customFormat="false" ht="15" hidden="false" customHeight="true" outlineLevel="0" collapsed="false">
      <c r="A7" s="19" t="n">
        <v>0.0865</v>
      </c>
      <c r="B7" s="14" t="n">
        <f aca="false">SUMPRODUCT('UOB DDM Valuation'!$B$8*(1+'UOB DDM Valuation'!$B$20)^{1,2,3,4,5}*'UOB DDM Valuation'!$B$11/(1+$A7)^{1,2,3,4,5})+('UOB DDM Valuation'!$B$8*(1+'UOB DDM Valuation'!$B$20)^5*'UOB DDM Valuation'!$B$11*(1+B$5)/($A7-B$5))/(1+$A7)^5</f>
        <v>29.9670966992674</v>
      </c>
      <c r="C7" s="14" t="n">
        <f aca="false">SUMPRODUCT('UOB DDM Valuation'!$B$8*(1+'UOB DDM Valuation'!$B$20)^{1,2,3,4,5}*'UOB DDM Valuation'!$B$11/(1+$A7)^{1,2,3,4,5})+('UOB DDM Valuation'!$B$8*(1+'UOB DDM Valuation'!$B$20)^5*'UOB DDM Valuation'!$B$11*(1+C$5)/($A7-C$5))/(1+$A7)^5</f>
        <v>31.7226163495927</v>
      </c>
      <c r="D7" s="14" t="n">
        <f aca="false">SUMPRODUCT('UOB DDM Valuation'!$B$8*(1+'UOB DDM Valuation'!$B$20)^{1,2,3,4,5}*'UOB DDM Valuation'!$B$11/(1+$A7)^{1,2,3,4,5})+('UOB DDM Valuation'!$B$8*(1+'UOB DDM Valuation'!$B$20)^5*'UOB DDM Valuation'!$B$11*(1+D$5)/($A7-D$5))/(1+$A7)^5</f>
        <v>33.7635863495644</v>
      </c>
      <c r="E7" s="14" t="n">
        <f aca="false">SUMPRODUCT('UOB DDM Valuation'!$B$8*(1+'UOB DDM Valuation'!$B$20)^{1,2,3,4,5}*'UOB DDM Valuation'!$B$11/(1+$A7)^{1,2,3,4,5})+('UOB DDM Valuation'!$B$8*(1+'UOB DDM Valuation'!$B$20)^5*'UOB DDM Valuation'!$B$11*(1+E$5)/($A7-E$5))/(1+$A7)^5</f>
        <v>36.1657899778498</v>
      </c>
      <c r="F7" s="14" t="n">
        <f aca="false">SUMPRODUCT('UOB DDM Valuation'!$B$8*(1+'UOB DDM Valuation'!$B$20)^{1,2,3,4,5}*'UOB DDM Valuation'!$B$11/(1+$A7)^{1,2,3,4,5})+('UOB DDM Valuation'!$B$8*(1+'UOB DDM Valuation'!$B$20)^5*'UOB DDM Valuation'!$B$11*(1+F$5)/($A7-F$5))/(1+$A7)^5</f>
        <v>39.0344409125982</v>
      </c>
      <c r="G7" s="14" t="n">
        <f aca="false">SUMPRODUCT('UOB DDM Valuation'!$B$8*(1+'UOB DDM Valuation'!$B$20)^{1,2,3,4,5}*'UOB DDM Valuation'!$B$11/(1+$A7)^{1,2,3,4,5})+('UOB DDM Valuation'!$B$8*(1+'UOB DDM Valuation'!$B$20)^5*'UOB DDM Valuation'!$B$11*(1+G$5)/($A7-G$5))/(1+$A7)^5</f>
        <v>42.5200060268625</v>
      </c>
      <c r="H7" s="3"/>
    </row>
    <row r="8" customFormat="false" ht="15" hidden="false" customHeight="true" outlineLevel="0" collapsed="false">
      <c r="A8" s="19" t="n">
        <v>0.0915</v>
      </c>
      <c r="B8" s="14" t="n">
        <f aca="false">SUMPRODUCT('UOB DDM Valuation'!$B$8*(1+'UOB DDM Valuation'!$B$20)^{1,2,3,4,5}*'UOB DDM Valuation'!$B$11/(1+$A8)^{1,2,3,4,5})+('UOB DDM Valuation'!$B$8*(1+'UOB DDM Valuation'!$B$20)^5*'UOB DDM Valuation'!$B$11*(1+B$5)/($A8-B$5))/(1+$A8)^5</f>
        <v>27.9695886645951</v>
      </c>
      <c r="C8" s="14" t="n">
        <f aca="false">SUMPRODUCT('UOB DDM Valuation'!$B$8*(1+'UOB DDM Valuation'!$B$20)^{1,2,3,4,5}*'UOB DDM Valuation'!$B$11/(1+$A8)^{1,2,3,4,5})+('UOB DDM Valuation'!$B$8*(1+'UOB DDM Valuation'!$B$20)^5*'UOB DDM Valuation'!$B$11*(1+C$5)/($A8-C$5))/(1+$A8)^5</f>
        <v>29.4678579193893</v>
      </c>
      <c r="D8" s="14" t="n">
        <f aca="false">SUMPRODUCT('UOB DDM Valuation'!$B$8*(1+'UOB DDM Valuation'!$B$20)^{1,2,3,4,5}*'UOB DDM Valuation'!$B$11/(1+$A8)^{1,2,3,4,5})+('UOB DDM Valuation'!$B$8*(1+'UOB DDM Valuation'!$B$20)^5*'UOB DDM Valuation'!$B$11*(1+D$5)/($A8-D$5))/(1+$A8)^5</f>
        <v>31.191430821521</v>
      </c>
      <c r="E8" s="14" t="n">
        <f aca="false">SUMPRODUCT('UOB DDM Valuation'!$B$8*(1+'UOB DDM Valuation'!$B$20)^{1,2,3,4,5}*'UOB DDM Valuation'!$B$11/(1+$A8)^{1,2,3,4,5})+('UOB DDM Valuation'!$B$8*(1+'UOB DDM Valuation'!$B$20)^5*'UOB DDM Valuation'!$B$11*(1+E$5)/($A8-E$5))/(1+$A8)^5</f>
        <v>33.1952594800968</v>
      </c>
      <c r="F8" s="14" t="n">
        <f aca="false">SUMPRODUCT('UOB DDM Valuation'!$B$8*(1+'UOB DDM Valuation'!$B$20)^{1,2,3,4,5}*'UOB DDM Valuation'!$B$11/(1+$A8)^{1,2,3,4,5})+('UOB DDM Valuation'!$B$8*(1+'UOB DDM Valuation'!$B$20)^5*'UOB DDM Valuation'!$B$11*(1+F$5)/($A8-F$5))/(1+$A8)^5</f>
        <v>35.5537480782436</v>
      </c>
      <c r="G8" s="14" t="n">
        <f aca="false">SUMPRODUCT('UOB DDM Valuation'!$B$8*(1+'UOB DDM Valuation'!$B$20)^{1,2,3,4,5}*'UOB DDM Valuation'!$B$11/(1+$A8)^{1,2,3,4,5})+('UOB DDM Valuation'!$B$8*(1+'UOB DDM Valuation'!$B$20)^5*'UOB DDM Valuation'!$B$11*(1+G$5)/($A8-G$5))/(1+$A8)^5</f>
        <v>38.3701956274869</v>
      </c>
      <c r="H8" s="3"/>
    </row>
    <row r="9" customFormat="false" ht="15" hidden="false" customHeight="true" outlineLevel="0" collapsed="false">
      <c r="A9" s="19" t="n">
        <v>0.0965</v>
      </c>
      <c r="B9" s="14" t="n">
        <f aca="false">SUMPRODUCT('UOB DDM Valuation'!$B$8*(1+'UOB DDM Valuation'!$B$20)^{1,2,3,4,5}*'UOB DDM Valuation'!$B$11/(1+$A9)^{1,2,3,4,5})+('UOB DDM Valuation'!$B$8*(1+'UOB DDM Valuation'!$B$20)^5*'UOB DDM Valuation'!$B$11*(1+B$5)/($A9-B$5))/(1+$A9)^5</f>
        <v>26.2178305311883</v>
      </c>
      <c r="C9" s="14" t="n">
        <f aca="false">SUMPRODUCT('UOB DDM Valuation'!$B$8*(1+'UOB DDM Valuation'!$B$20)^{1,2,3,4,5}*'UOB DDM Valuation'!$B$11/(1+$A9)^{1,2,3,4,5})+('UOB DDM Valuation'!$B$8*(1+'UOB DDM Valuation'!$B$20)^5*'UOB DDM Valuation'!$B$11*(1+C$5)/($A9-C$5))/(1+$A9)^5</f>
        <v>27.5084515000702</v>
      </c>
      <c r="D9" s="14" t="n">
        <f aca="false">SUMPRODUCT('UOB DDM Valuation'!$B$8*(1+'UOB DDM Valuation'!$B$20)^{1,2,3,4,5}*'UOB DDM Valuation'!$B$11/(1+$A9)^{1,2,3,4,5})+('UOB DDM Valuation'!$B$8*(1+'UOB DDM Valuation'!$B$20)^5*'UOB DDM Valuation'!$B$11*(1+D$5)/($A9-D$5))/(1+$A9)^5</f>
        <v>28.9795788981662</v>
      </c>
      <c r="E9" s="14" t="n">
        <f aca="false">SUMPRODUCT('UOB DDM Valuation'!$B$8*(1+'UOB DDM Valuation'!$B$20)^{1,2,3,4,5}*'UOB DDM Valuation'!$B$11/(1+$A9)^{1,2,3,4,5})+('UOB DDM Valuation'!$B$8*(1+'UOB DDM Valuation'!$B$20)^5*'UOB DDM Valuation'!$B$11*(1+E$5)/($A9-E$5))/(1+$A9)^5</f>
        <v>30.6719284613895</v>
      </c>
      <c r="F9" s="14" t="n">
        <f aca="false">SUMPRODUCT('UOB DDM Valuation'!$B$8*(1+'UOB DDM Valuation'!$B$20)^{1,2,3,4,5}*'UOB DDM Valuation'!$B$11/(1+$A9)^{1,2,3,4,5})+('UOB DDM Valuation'!$B$8*(1+'UOB DDM Valuation'!$B$20)^5*'UOB DDM Valuation'!$B$11*(1+F$5)/($A9-F$5))/(1+$A9)^5</f>
        <v>32.6394568153809</v>
      </c>
      <c r="G9" s="14" t="n">
        <f aca="false">SUMPRODUCT('UOB DDM Valuation'!$B$8*(1+'UOB DDM Valuation'!$B$20)^{1,2,3,4,5}*'UOB DDM Valuation'!$B$11/(1+$A9)^{1,2,3,4,5})+('UOB DDM Valuation'!$B$8*(1+'UOB DDM Valuation'!$B$20)^5*'UOB DDM Valuation'!$B$11*(1+G$5)/($A9-G$5))/(1+$A9)^5</f>
        <v>34.9552202762733</v>
      </c>
      <c r="H9" s="3"/>
    </row>
    <row r="10" customFormat="false" ht="15" hidden="false" customHeight="true" outlineLevel="0" collapsed="false">
      <c r="A10" s="19" t="n">
        <v>0.1015</v>
      </c>
      <c r="B10" s="14" t="n">
        <f aca="false">SUMPRODUCT('UOB DDM Valuation'!$B$8*(1+'UOB DDM Valuation'!$B$20)^{1,2,3,4,5}*'UOB DDM Valuation'!$B$11/(1+$A10)^{1,2,3,4,5})+('UOB DDM Valuation'!$B$8*(1+'UOB DDM Valuation'!$B$20)^5*'UOB DDM Valuation'!$B$11*(1+B$5)/($A10-B$5))/(1+$A10)^5</f>
        <v>24.6691921150419</v>
      </c>
      <c r="C10" s="14" t="n">
        <f aca="false">SUMPRODUCT('UOB DDM Valuation'!$B$8*(1+'UOB DDM Valuation'!$B$20)^{1,2,3,4,5}*'UOB DDM Valuation'!$B$11/(1+$A10)^{1,2,3,4,5})+('UOB DDM Valuation'!$B$8*(1+'UOB DDM Valuation'!$B$20)^5*'UOB DDM Valuation'!$B$11*(1+C$5)/($A10-C$5))/(1+$A10)^5</f>
        <v>25.7900242724814</v>
      </c>
      <c r="D10" s="14" t="n">
        <f aca="false">SUMPRODUCT('UOB DDM Valuation'!$B$8*(1+'UOB DDM Valuation'!$B$20)^{1,2,3,4,5}*'UOB DDM Valuation'!$B$11/(1+$A10)^{1,2,3,4,5})+('UOB DDM Valuation'!$B$8*(1+'UOB DDM Valuation'!$B$20)^5*'UOB DDM Valuation'!$B$11*(1+D$5)/($A10-D$5))/(1+$A10)^5</f>
        <v>27.0573704374293</v>
      </c>
      <c r="E10" s="14" t="n">
        <f aca="false">SUMPRODUCT('UOB DDM Valuation'!$B$8*(1+'UOB DDM Valuation'!$B$20)^{1,2,3,4,5}*'UOB DDM Valuation'!$B$11/(1+$A10)^{1,2,3,4,5})+('UOB DDM Valuation'!$B$8*(1+'UOB DDM Valuation'!$B$20)^5*'UOB DDM Valuation'!$B$11*(1+E$5)/($A10-E$5))/(1+$A10)^5</f>
        <v>28.5019678142581</v>
      </c>
      <c r="F10" s="14" t="n">
        <f aca="false">SUMPRODUCT('UOB DDM Valuation'!$B$8*(1+'UOB DDM Valuation'!$B$20)^{1,2,3,4,5}*'UOB DDM Valuation'!$B$11/(1+$A10)^{1,2,3,4,5})+('UOB DDM Valuation'!$B$8*(1+'UOB DDM Valuation'!$B$20)^5*'UOB DDM Valuation'!$B$11*(1+F$5)/($A10-F$5))/(1+$A10)^5</f>
        <v>30.1637978793317</v>
      </c>
      <c r="G10" s="14" t="n">
        <f aca="false">SUMPRODUCT('UOB DDM Valuation'!$B$8*(1+'UOB DDM Valuation'!$B$20)^{1,2,3,4,5}*'UOB DDM Valuation'!$B$11/(1+$A10)^{1,2,3,4,5})+('UOB DDM Valuation'!$B$8*(1+'UOB DDM Valuation'!$B$20)^5*'UOB DDM Valuation'!$B$11*(1+G$5)/($A10-G$5))/(1+$A10)^5</f>
        <v>32.0958442151491</v>
      </c>
      <c r="H10" s="3"/>
    </row>
    <row r="11" customFormat="false" ht="15" hidden="false" customHeight="true" outlineLevel="0" collapsed="false">
      <c r="A11" s="19" t="n">
        <v>0.1065</v>
      </c>
      <c r="B11" s="14" t="n">
        <f aca="false">SUMPRODUCT('UOB DDM Valuation'!$B$8*(1+'UOB DDM Valuation'!$B$20)^{1,2,3,4,5}*'UOB DDM Valuation'!$B$11/(1+$A11)^{1,2,3,4,5})+('UOB DDM Valuation'!$B$8*(1+'UOB DDM Valuation'!$B$20)^5*'UOB DDM Valuation'!$B$11*(1+B$5)/($A11-B$5))/(1+$A11)^5</f>
        <v>23.2903617004589</v>
      </c>
      <c r="C11" s="14" t="n">
        <f aca="false">SUMPRODUCT('UOB DDM Valuation'!$B$8*(1+'UOB DDM Valuation'!$B$20)^{1,2,3,4,5}*'UOB DDM Valuation'!$B$11/(1+$A11)^{1,2,3,4,5})+('UOB DDM Valuation'!$B$8*(1+'UOB DDM Valuation'!$B$20)^5*'UOB DDM Valuation'!$B$11*(1+C$5)/($A11-C$5))/(1+$A11)^5</f>
        <v>24.270775533445</v>
      </c>
      <c r="D11" s="14" t="n">
        <f aca="false">SUMPRODUCT('UOB DDM Valuation'!$B$8*(1+'UOB DDM Valuation'!$B$20)^{1,2,3,4,5}*'UOB DDM Valuation'!$B$11/(1+$A11)^{1,2,3,4,5})+('UOB DDM Valuation'!$B$8*(1+'UOB DDM Valuation'!$B$20)^5*'UOB DDM Valuation'!$B$11*(1+D$5)/($A11-D$5))/(1+$A11)^5</f>
        <v>25.3714855422576</v>
      </c>
      <c r="E11" s="14" t="n">
        <f aca="false">SUMPRODUCT('UOB DDM Valuation'!$B$8*(1+'UOB DDM Valuation'!$B$20)^{1,2,3,4,5}*'UOB DDM Valuation'!$B$11/(1+$A11)^{1,2,3,4,5})+('UOB DDM Valuation'!$B$8*(1+'UOB DDM Valuation'!$B$20)^5*'UOB DDM Valuation'!$B$11*(1+E$5)/($A11-E$5))/(1+$A11)^5</f>
        <v>26.6160792123529</v>
      </c>
      <c r="F11" s="14" t="n">
        <f aca="false">SUMPRODUCT('UOB DDM Valuation'!$B$8*(1+'UOB DDM Valuation'!$B$20)^{1,2,3,4,5}*'UOB DDM Valuation'!$B$11/(1+$A11)^{1,2,3,4,5})+('UOB DDM Valuation'!$B$8*(1+'UOB DDM Valuation'!$B$20)^5*'UOB DDM Valuation'!$B$11*(1+F$5)/($A11-F$5))/(1+$A11)^5</f>
        <v>28.0347419272167</v>
      </c>
      <c r="G11" s="14" t="n">
        <f aca="false">SUMPRODUCT('UOB DDM Valuation'!$B$8*(1+'UOB DDM Valuation'!$B$20)^{1,2,3,4,5}*'UOB DDM Valuation'!$B$11/(1+$A11)^{1,2,3,4,5})+('UOB DDM Valuation'!$B$8*(1+'UOB DDM Valuation'!$B$20)^5*'UOB DDM Valuation'!$B$11*(1+G$5)/($A11-G$5))/(1+$A11)^5</f>
        <v>29.6667373811579</v>
      </c>
      <c r="H11" s="3"/>
    </row>
    <row r="12" customFormat="false" ht="15" hidden="false" customHeight="true" outlineLevel="0" collapsed="false">
      <c r="A12" s="19" t="n">
        <v>0.1115</v>
      </c>
      <c r="B12" s="14" t="n">
        <f aca="false">SUMPRODUCT('UOB DDM Valuation'!$B$8*(1+'UOB DDM Valuation'!$B$20)^{1,2,3,4,5}*'UOB DDM Valuation'!$B$11/(1+$A12)^{1,2,3,4,5})+('UOB DDM Valuation'!$B$8*(1+'UOB DDM Valuation'!$B$20)^5*'UOB DDM Valuation'!$B$11*(1+B$5)/($A12-B$5))/(1+$A12)^5</f>
        <v>22.0549319165526</v>
      </c>
      <c r="C12" s="14" t="n">
        <f aca="false">SUMPRODUCT('UOB DDM Valuation'!$B$8*(1+'UOB DDM Valuation'!$B$20)^{1,2,3,4,5}*'UOB DDM Valuation'!$B$11/(1+$A12)^{1,2,3,4,5})+('UOB DDM Valuation'!$B$8*(1+'UOB DDM Valuation'!$B$20)^5*'UOB DDM Valuation'!$B$11*(1+C$5)/($A12-C$5))/(1+$A12)^5</f>
        <v>22.9180416798242</v>
      </c>
      <c r="D12" s="14" t="n">
        <f aca="false">SUMPRODUCT('UOB DDM Valuation'!$B$8*(1+'UOB DDM Valuation'!$B$20)^{1,2,3,4,5}*'UOB DDM Valuation'!$B$11/(1+$A12)^{1,2,3,4,5})+('UOB DDM Valuation'!$B$8*(1+'UOB DDM Valuation'!$B$20)^5*'UOB DDM Valuation'!$B$11*(1+D$5)/($A12-D$5))/(1+$A12)^5</f>
        <v>23.8809329186184</v>
      </c>
      <c r="E12" s="14" t="n">
        <f aca="false">SUMPRODUCT('UOB DDM Valuation'!$B$8*(1+'UOB DDM Valuation'!$B$20)^{1,2,3,4,5}*'UOB DDM Valuation'!$B$11/(1+$A12)^{1,2,3,4,5})+('UOB DDM Valuation'!$B$8*(1+'UOB DDM Valuation'!$B$20)^5*'UOB DDM Valuation'!$B$11*(1+E$5)/($A12-E$5))/(1+$A12)^5</f>
        <v>24.961970321682</v>
      </c>
      <c r="F12" s="14" t="n">
        <f aca="false">SUMPRODUCT('UOB DDM Valuation'!$B$8*(1+'UOB DDM Valuation'!$B$20)^{1,2,3,4,5}*'UOB DDM Valuation'!$B$11/(1+$A12)^{1,2,3,4,5})+('UOB DDM Valuation'!$B$8*(1+'UOB DDM Valuation'!$B$20)^5*'UOB DDM Valuation'!$B$11*(1+F$5)/($A12-F$5))/(1+$A12)^5</f>
        <v>26.1843198035773</v>
      </c>
      <c r="G12" s="14" t="n">
        <f aca="false">SUMPRODUCT('UOB DDM Valuation'!$B$8*(1+'UOB DDM Valuation'!$B$20)^{1,2,3,4,5}*'UOB DDM Valuation'!$B$11/(1+$A12)^{1,2,3,4,5})+('UOB DDM Valuation'!$B$8*(1+'UOB DDM Valuation'!$B$20)^5*'UOB DDM Valuation'!$B$11*(1+G$5)/($A12-G$5))/(1+$A12)^5</f>
        <v>27.5776272549685</v>
      </c>
      <c r="H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10" t="s">
        <v>50</v>
      </c>
      <c r="B14" s="16" t="n">
        <f aca="false">'UOB DDM Valuation'!$B$6</f>
        <v>36.65</v>
      </c>
      <c r="C14" s="3"/>
      <c r="D14" s="3"/>
      <c r="E14" s="3"/>
      <c r="F14" s="3"/>
      <c r="G14" s="3"/>
      <c r="H14" s="3"/>
    </row>
  </sheetData>
  <mergeCells count="1">
    <mergeCell ref="A4:H4"/>
  </mergeCells>
  <conditionalFormatting sqref="B6:G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2026-09-20T09:20:47Z</dcterms:created>
  <dc:creator>openpyxl</dc:creator>
  <dc:description/>
  <dc:language>en-US</dc:language>
  <cp:lastModifiedBy/>
  <dcterms:modified xsi:type="dcterms:W3CDTF">2026-09-20T09:27:38Z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